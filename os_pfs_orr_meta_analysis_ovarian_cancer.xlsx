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eta_Analysis_FINAL\"/>
    </mc:Choice>
  </mc:AlternateContent>
  <xr:revisionPtr revIDLastSave="0" documentId="13_ncr:1_{F3CC7A25-145C-46B9-BAA2-9BA042D904CD}" xr6:coauthVersionLast="47" xr6:coauthVersionMax="47" xr10:uidLastSave="{00000000-0000-0000-0000-000000000000}"/>
  <bookViews>
    <workbookView xWindow="-108" yWindow="-108" windowWidth="23256" windowHeight="12456" activeTab="1" xr2:uid="{193AE7E4-1E74-4A0F-8290-7E1FC1192FB6}"/>
  </bookViews>
  <sheets>
    <sheet name="OS" sheetId="1" r:id="rId1"/>
    <sheet name="PFS" sheetId="2" r:id="rId2"/>
    <sheet name="OR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6" i="2"/>
  <c r="G3" i="1"/>
  <c r="G4" i="1"/>
  <c r="G5" i="1"/>
  <c r="G2" i="1"/>
  <c r="G3" i="2"/>
  <c r="G4" i="2"/>
  <c r="G5" i="2"/>
  <c r="G2" i="2"/>
</calcChain>
</file>

<file path=xl/sharedStrings.xml><?xml version="1.0" encoding="utf-8"?>
<sst xmlns="http://schemas.openxmlformats.org/spreadsheetml/2006/main" count="68" uniqueCount="41">
  <si>
    <t>Study</t>
  </si>
  <si>
    <t>Treatment</t>
  </si>
  <si>
    <t>Comparator</t>
  </si>
  <si>
    <t>lurbinectedin</t>
  </si>
  <si>
    <t>single-agent chemotherapy</t>
  </si>
  <si>
    <t>Placebo+Chemotherapy</t>
  </si>
  <si>
    <t>nivolumab</t>
  </si>
  <si>
    <t>lcl_os</t>
  </si>
  <si>
    <t>ucl_os</t>
  </si>
  <si>
    <t>median_os</t>
  </si>
  <si>
    <t>median_pfs</t>
  </si>
  <si>
    <t>lcl_pfs</t>
  </si>
  <si>
    <t>ucl_pfs</t>
  </si>
  <si>
    <t>orr</t>
  </si>
  <si>
    <t>event</t>
  </si>
  <si>
    <t>samplesize</t>
  </si>
  <si>
    <t xml:space="preserve">OVATURE </t>
  </si>
  <si>
    <t>AURELIA</t>
  </si>
  <si>
    <t>NINJA</t>
  </si>
  <si>
    <t>Avelumab+chemotherapy(PLD)</t>
  </si>
  <si>
    <t>CORAIL</t>
  </si>
  <si>
    <t>JAVELIN Ovarian 200</t>
  </si>
  <si>
    <t>OVATURE</t>
  </si>
  <si>
    <t>PENELOPE</t>
  </si>
  <si>
    <t xml:space="preserve">FORWARD I </t>
  </si>
  <si>
    <t>Avelumab+PLD</t>
  </si>
  <si>
    <t>MIRV</t>
  </si>
  <si>
    <t xml:space="preserve">AURELIA </t>
  </si>
  <si>
    <t xml:space="preserve">PENELOPE </t>
  </si>
  <si>
    <t xml:space="preserve">oral PXD+AUC2-carboplatin </t>
  </si>
  <si>
    <t>bevacizumab+chemotherapy</t>
  </si>
  <si>
    <t>pertuzumab+chemotherapy</t>
  </si>
  <si>
    <t>se_os</t>
  </si>
  <si>
    <t>se_pfs</t>
  </si>
  <si>
    <t xml:space="preserve"> 
PLD</t>
  </si>
  <si>
    <t>chemotherapy</t>
  </si>
  <si>
    <t xml:space="preserve">placebo+AUC2-carboplatin </t>
  </si>
  <si>
    <t xml:space="preserve">chemotherapy </t>
  </si>
  <si>
    <t>PLD</t>
  </si>
  <si>
    <t>chemotherapy(gemcitabine [GEM]or PLD)</t>
  </si>
  <si>
    <t>chemotherapy(gemcitabine [GEM]or [PLD])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</si>
</sst>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4A74-6925-4FDC-B64D-F7D2F41DFC13}">
  <dimension ref="A1:G6"/>
  <sheetViews>
    <sheetView workbookViewId="0">
      <selection activeCell="C10" sqref="C10:C11"/>
    </sheetView>
  </sheetViews>
  <sheetFormatPr defaultRowHeight="14.4" x14ac:dyDescent="0.3"/>
  <cols>
    <col min="1" max="1" width="19.77734375" customWidth="1"/>
    <col min="2" max="2" width="17.6640625" customWidth="1"/>
    <col min="3" max="3" width="17" customWidth="1"/>
    <col min="4" max="4" width="11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7</v>
      </c>
      <c r="F1" s="1" t="s">
        <v>8</v>
      </c>
      <c r="G1" s="1" t="s">
        <v>32</v>
      </c>
    </row>
    <row r="2" spans="1:7" ht="28.8" x14ac:dyDescent="0.3">
      <c r="A2" s="2" t="s">
        <v>21</v>
      </c>
      <c r="B2" s="2" t="s">
        <v>19</v>
      </c>
      <c r="C2" s="2" t="s">
        <v>35</v>
      </c>
      <c r="D2" s="2">
        <v>13.1</v>
      </c>
      <c r="E2">
        <v>11.8</v>
      </c>
      <c r="F2">
        <v>15.5</v>
      </c>
      <c r="G2">
        <f xml:space="preserve"> (LN(F2)-LN(E2))/3.92</f>
        <v>6.9576656238158591E-2</v>
      </c>
    </row>
    <row r="3" spans="1:7" ht="28.8" x14ac:dyDescent="0.3">
      <c r="A3" s="2" t="s">
        <v>16</v>
      </c>
      <c r="B3" s="2" t="s">
        <v>29</v>
      </c>
      <c r="C3" s="2" t="s">
        <v>36</v>
      </c>
      <c r="D3" s="2">
        <v>10.52</v>
      </c>
      <c r="E3">
        <v>8.1999999999999993</v>
      </c>
      <c r="F3">
        <v>13.3</v>
      </c>
      <c r="G3">
        <f t="shared" ref="G3:G5" si="0" xml:space="preserve"> (LN(F3)-LN(E3))/3.92</f>
        <v>0.12337496963201551</v>
      </c>
    </row>
    <row r="4" spans="1:7" ht="28.8" x14ac:dyDescent="0.3">
      <c r="A4" s="2" t="s">
        <v>17</v>
      </c>
      <c r="B4" s="2" t="s">
        <v>30</v>
      </c>
      <c r="C4" s="2" t="s">
        <v>37</v>
      </c>
      <c r="D4" s="2">
        <v>13.3</v>
      </c>
      <c r="E4">
        <v>11.9</v>
      </c>
      <c r="F4">
        <v>16.399999999999999</v>
      </c>
      <c r="G4">
        <f t="shared" si="0"/>
        <v>8.1822177222619683E-2</v>
      </c>
    </row>
    <row r="5" spans="1:7" x14ac:dyDescent="0.3">
      <c r="A5" s="2" t="s">
        <v>18</v>
      </c>
      <c r="B5" s="2" t="s">
        <v>6</v>
      </c>
      <c r="C5" s="2" t="s">
        <v>37</v>
      </c>
      <c r="D5" s="2">
        <v>12.1</v>
      </c>
      <c r="E5">
        <v>9.3000000000000007</v>
      </c>
      <c r="F5">
        <v>15.3</v>
      </c>
      <c r="G5">
        <f t="shared" si="0"/>
        <v>0.12699959904060701</v>
      </c>
    </row>
    <row r="6" spans="1:7" x14ac:dyDescent="0.3">
      <c r="A6" s="2"/>
      <c r="B6" s="2"/>
      <c r="C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9EB3-CEF1-4A35-9722-98EAF5A5679C}">
  <dimension ref="A1:G8"/>
  <sheetViews>
    <sheetView tabSelected="1" workbookViewId="0">
      <selection activeCell="B11" sqref="B11"/>
    </sheetView>
  </sheetViews>
  <sheetFormatPr defaultRowHeight="14.4" x14ac:dyDescent="0.3"/>
  <cols>
    <col min="1" max="1" width="20.44140625" customWidth="1"/>
    <col min="2" max="2" width="20.33203125" customWidth="1"/>
    <col min="3" max="3" width="13.33203125" customWidth="1"/>
    <col min="4" max="4" width="11" customWidth="1"/>
    <col min="5" max="5" width="13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33</v>
      </c>
    </row>
    <row r="2" spans="1:7" ht="28.8" x14ac:dyDescent="0.3">
      <c r="A2" s="2" t="s">
        <v>20</v>
      </c>
      <c r="B2" t="s">
        <v>3</v>
      </c>
      <c r="C2" s="2" t="s">
        <v>34</v>
      </c>
      <c r="D2">
        <v>3.6</v>
      </c>
      <c r="E2">
        <v>2.7</v>
      </c>
      <c r="F2">
        <v>3.8</v>
      </c>
      <c r="G2">
        <f>(LOG(F2) - LOG(E2)) / 3.92</f>
        <v>3.7862202157607848E-2</v>
      </c>
    </row>
    <row r="3" spans="1:7" x14ac:dyDescent="0.3">
      <c r="A3" s="2" t="s">
        <v>21</v>
      </c>
      <c r="B3" s="2" t="s">
        <v>25</v>
      </c>
      <c r="C3" s="2" t="s">
        <v>38</v>
      </c>
      <c r="D3">
        <v>3.5</v>
      </c>
      <c r="E3">
        <v>2.1</v>
      </c>
      <c r="F3">
        <v>4</v>
      </c>
      <c r="G3">
        <f t="shared" ref="G3:G8" si="0">(LOG(F3) - LOG(E3)) / 3.92</f>
        <v>7.138793280460283E-2</v>
      </c>
    </row>
    <row r="4" spans="1:7" ht="28.8" x14ac:dyDescent="0.3">
      <c r="A4" s="2" t="s">
        <v>22</v>
      </c>
      <c r="B4" s="2" t="s">
        <v>29</v>
      </c>
      <c r="C4" s="2" t="s">
        <v>36</v>
      </c>
      <c r="D4">
        <v>4.63</v>
      </c>
      <c r="E4">
        <v>3</v>
      </c>
      <c r="F4">
        <v>7.7</v>
      </c>
      <c r="G4">
        <f t="shared" si="0"/>
        <v>0.10443098736041312</v>
      </c>
    </row>
    <row r="5" spans="1:7" ht="28.8" x14ac:dyDescent="0.3">
      <c r="A5" s="2" t="s">
        <v>17</v>
      </c>
      <c r="B5" s="2" t="s">
        <v>30</v>
      </c>
      <c r="C5" s="2" t="s">
        <v>4</v>
      </c>
      <c r="D5">
        <v>3.4</v>
      </c>
      <c r="E5">
        <v>2.2000000000000002</v>
      </c>
      <c r="F5">
        <v>3.7</v>
      </c>
      <c r="G5">
        <f t="shared" si="0"/>
        <v>5.7596694705303243E-2</v>
      </c>
    </row>
    <row r="6" spans="1:7" ht="28.8" x14ac:dyDescent="0.3">
      <c r="A6" s="2" t="s">
        <v>23</v>
      </c>
      <c r="B6" s="2" t="s">
        <v>31</v>
      </c>
      <c r="C6" s="2" t="s">
        <v>5</v>
      </c>
      <c r="D6">
        <v>2.6</v>
      </c>
      <c r="E6">
        <v>2.1</v>
      </c>
      <c r="F6">
        <v>4.3</v>
      </c>
      <c r="G6">
        <f t="shared" si="0"/>
        <v>7.9400296134098783E-2</v>
      </c>
    </row>
    <row r="7" spans="1:7" ht="43.2" x14ac:dyDescent="0.3">
      <c r="A7" s="2" t="s">
        <v>18</v>
      </c>
      <c r="B7" s="2" t="s">
        <v>6</v>
      </c>
      <c r="C7" s="2" t="s">
        <v>39</v>
      </c>
      <c r="D7">
        <v>3.8</v>
      </c>
      <c r="E7">
        <v>3.6</v>
      </c>
      <c r="F7">
        <v>4.2</v>
      </c>
      <c r="G7">
        <f t="shared" si="0"/>
        <v>1.7078262660870709E-2</v>
      </c>
    </row>
    <row r="8" spans="1:7" x14ac:dyDescent="0.3">
      <c r="A8" s="2" t="s">
        <v>24</v>
      </c>
      <c r="B8" s="2" t="s">
        <v>26</v>
      </c>
      <c r="C8" s="2" t="s">
        <v>37</v>
      </c>
      <c r="D8">
        <v>3.5</v>
      </c>
      <c r="E8">
        <v>2.1</v>
      </c>
      <c r="F8">
        <v>3.7</v>
      </c>
      <c r="G8">
        <f t="shared" si="0"/>
        <v>6.2750619727825432E-2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B5B4-F6CA-4F7E-AE44-4F01355424A7}">
  <dimension ref="A1:G6"/>
  <sheetViews>
    <sheetView workbookViewId="0">
      <selection activeCell="C12" sqref="C12:C18"/>
    </sheetView>
  </sheetViews>
  <sheetFormatPr defaultRowHeight="14.4" x14ac:dyDescent="0.3"/>
  <cols>
    <col min="1" max="1" width="15.88671875" customWidth="1"/>
    <col min="2" max="2" width="17.21875" customWidth="1"/>
    <col min="3" max="3" width="15.5546875" customWidth="1"/>
    <col min="4" max="4" width="13.88671875" customWidth="1"/>
    <col min="5" max="5" width="12.21875" customWidth="1"/>
    <col min="6" max="6" width="1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/>
    </row>
    <row r="2" spans="1:7" ht="28.8" x14ac:dyDescent="0.3">
      <c r="A2" s="2" t="s">
        <v>16</v>
      </c>
      <c r="B2" s="2" t="s">
        <v>29</v>
      </c>
      <c r="C2" s="2" t="s">
        <v>36</v>
      </c>
      <c r="D2" s="3">
        <v>1.4E-2</v>
      </c>
      <c r="E2">
        <v>1</v>
      </c>
      <c r="F2">
        <v>72</v>
      </c>
    </row>
    <row r="3" spans="1:7" ht="28.8" x14ac:dyDescent="0.3">
      <c r="A3" s="2" t="s">
        <v>27</v>
      </c>
      <c r="B3" s="2" t="s">
        <v>30</v>
      </c>
      <c r="C3" s="2" t="s">
        <v>4</v>
      </c>
      <c r="D3" s="4">
        <v>0.11799999999999999</v>
      </c>
      <c r="E3">
        <v>21</v>
      </c>
      <c r="F3">
        <v>182</v>
      </c>
    </row>
    <row r="4" spans="1:7" ht="28.8" x14ac:dyDescent="0.3">
      <c r="A4" s="2" t="s">
        <v>28</v>
      </c>
      <c r="B4" s="2" t="s">
        <v>31</v>
      </c>
      <c r="C4" s="2" t="s">
        <v>5</v>
      </c>
      <c r="D4" s="4">
        <v>4.3999999999999997E-2</v>
      </c>
      <c r="E4">
        <v>3</v>
      </c>
      <c r="F4">
        <v>78</v>
      </c>
    </row>
    <row r="5" spans="1:7" ht="43.2" x14ac:dyDescent="0.3">
      <c r="A5" s="2" t="s">
        <v>18</v>
      </c>
      <c r="B5" s="2" t="s">
        <v>6</v>
      </c>
      <c r="C5" s="2" t="s">
        <v>40</v>
      </c>
      <c r="D5" s="4">
        <v>0.13200000000000001</v>
      </c>
      <c r="E5">
        <v>21</v>
      </c>
      <c r="F5">
        <v>159</v>
      </c>
    </row>
    <row r="6" spans="1:7" x14ac:dyDescent="0.3">
      <c r="A6" s="2" t="s">
        <v>24</v>
      </c>
      <c r="B6" s="2" t="s">
        <v>26</v>
      </c>
      <c r="C6" s="2" t="s">
        <v>35</v>
      </c>
      <c r="D6" s="3">
        <v>0.1</v>
      </c>
      <c r="E6">
        <v>7</v>
      </c>
      <c r="F6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OS</vt:lpstr>
      <vt:lpstr>PFS</vt:lpstr>
      <vt:lpstr>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 Sen</dc:creator>
  <cp:lastModifiedBy>Siddhartha Sen</cp:lastModifiedBy>
  <dcterms:created xsi:type="dcterms:W3CDTF">2025-06-17T10:38:51Z</dcterms:created>
  <dcterms:modified xsi:type="dcterms:W3CDTF">2025-07-06T20:22:25Z</dcterms:modified>
</cp:coreProperties>
</file>